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-PC\Desktop\Outbound\Aug\HK_4\PL_OCR_Grouping_Result (2)\"/>
    </mc:Choice>
  </mc:AlternateContent>
  <xr:revisionPtr revIDLastSave="0" documentId="13_ncr:1_{24D297A1-5D05-4891-BEE9-354C5D8DD7C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cking List" sheetId="1" r:id="rId1"/>
    <sheet name="Match_Status" sheetId="2" state="hidden" r:id="rId2"/>
    <sheet name="Raw_Data" sheetId="3" state="hidden" r:id="rId3"/>
    <sheet name="Audit_Summary" sheetId="4" state="hidden" r:id="rId4"/>
  </sheets>
  <definedNames>
    <definedName name="_xlnm.Print_Area" localSheetId="0">'Packing List'!$A$1:$R$18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1" l="1"/>
  <c r="B10" i="1"/>
  <c r="B9" i="1"/>
  <c r="B8" i="1"/>
</calcChain>
</file>

<file path=xl/sharedStrings.xml><?xml version="1.0" encoding="utf-8"?>
<sst xmlns="http://schemas.openxmlformats.org/spreadsheetml/2006/main" count="309" uniqueCount="176">
  <si>
    <t>PACKING LIST（装箱单）</t>
  </si>
  <si>
    <t>WPIC Purchase Order#/箱单编号：</t>
  </si>
  <si>
    <t xml:space="preserve"> 日期/Date：</t>
  </si>
  <si>
    <t>Seller's EIN#：</t>
  </si>
  <si>
    <t>Invoice#:</t>
  </si>
  <si>
    <t>SHIPPER:
TOPOLOGIE GLOBAL LIMITED
RM G, 9/F, King Palace Plaza
55 King Yip Street, Kwun Tong, Hong Kong
EMAIL: supplychainhk@topologie.com
TEL: 852 3955 9963</t>
  </si>
  <si>
    <t>Remark (SO#):</t>
  </si>
  <si>
    <t>CONSIGNEE:
TPLG HK Office
Unit C&amp;D, 8/F, Tong Yuen Factory Building
505 Castle Peak Road, Cheung Sha Wan, Kowloon, Hong Kong'
Attn: Coty
Tel:+852 3955 1885
Email: tplg.logistic@topologie.com</t>
  </si>
  <si>
    <t>NOTIFY PARTY:
DELIVERY ADDRESS:
TPLG HK Office
Unit C&amp;D, 8/F, Tong Yuen Factory Building
505 Castle Peak Road, Cheung Sha Wan, Kowloon, Hong Kong'
Attn: Coty
Tel:+852 3955 1885
Email: tplg.logistic@topologie.com</t>
  </si>
  <si>
    <t>成交方式/Trade term：</t>
  </si>
  <si>
    <t xml:space="preserve">Package Total: </t>
  </si>
  <si>
    <t>Quantity Total:</t>
  </si>
  <si>
    <t>Gross Weight (KG):</t>
  </si>
  <si>
    <t>CBM</t>
  </si>
  <si>
    <t>Item#</t>
  </si>
  <si>
    <t>Store</t>
  </si>
  <si>
    <t>OR No.</t>
  </si>
  <si>
    <t>Ref No.</t>
  </si>
  <si>
    <t>Product Name
in English</t>
  </si>
  <si>
    <t>SKU#</t>
  </si>
  <si>
    <t>BarCode/UPC</t>
  </si>
  <si>
    <t>UOM</t>
  </si>
  <si>
    <t>Quantity</t>
  </si>
  <si>
    <t>Carton#</t>
  </si>
  <si>
    <t>Packaging code</t>
  </si>
  <si>
    <t>Carton Dimensions (cm)
(Length*Weight*Height)</t>
  </si>
  <si>
    <t>Weight (KG)</t>
  </si>
  <si>
    <t>Origin Country</t>
  </si>
  <si>
    <t>Origin Country's HTSCODE</t>
  </si>
  <si>
    <t>Shipping Mark</t>
  </si>
  <si>
    <t>PORT</t>
  </si>
  <si>
    <t>中国标签名称</t>
  </si>
  <si>
    <t>项目</t>
  </si>
  <si>
    <t>OR 编码</t>
  </si>
  <si>
    <t>货品名称</t>
  </si>
  <si>
    <t>SKU编码</t>
  </si>
  <si>
    <t>条形码</t>
  </si>
  <si>
    <t>单位</t>
  </si>
  <si>
    <t>数量</t>
  </si>
  <si>
    <t>箱号</t>
  </si>
  <si>
    <t>包装条形码</t>
  </si>
  <si>
    <t>箱子尺寸</t>
  </si>
  <si>
    <t>原产国</t>
  </si>
  <si>
    <t>OR1196</t>
  </si>
  <si>
    <t>ia32674</t>
  </si>
  <si>
    <t>Barrel Bag Small</t>
  </si>
  <si>
    <t>TP-WBA-BBS-GCK-49</t>
  </si>
  <si>
    <t>4894961083099</t>
  </si>
  <si>
    <t>PCS</t>
  </si>
  <si>
    <t>1/2</t>
  </si>
  <si>
    <t>PGKECK0WDABY6290001</t>
  </si>
  <si>
    <t>VN</t>
  </si>
  <si>
    <t>4202.92.31</t>
  </si>
  <si>
    <t>HK-4_VN</t>
  </si>
  <si>
    <t>8.0mm Rope Strap</t>
  </si>
  <si>
    <t>TP-WST-R08-ANL-02-BOX</t>
  </si>
  <si>
    <t>4894961081064</t>
  </si>
  <si>
    <t>2/2</t>
  </si>
  <si>
    <t>PGKECOWN2HCJ2850001</t>
  </si>
  <si>
    <t>CN</t>
  </si>
  <si>
    <t>5609.00.30</t>
  </si>
  <si>
    <t>HK-4_CN</t>
  </si>
  <si>
    <t>6.0mm Rope Strap</t>
  </si>
  <si>
    <t>TP-WST-R06-FLW-02-BOX</t>
  </si>
  <si>
    <t>4894961081248</t>
  </si>
  <si>
    <t>14mm Rope Loop</t>
  </si>
  <si>
    <t>TP-WST-RL14-MOM-02</t>
  </si>
  <si>
    <t>4894961081903</t>
  </si>
  <si>
    <t>TOTAL</t>
  </si>
  <si>
    <t>2 Cartons</t>
  </si>
  <si>
    <t>source_file</t>
  </si>
  <si>
    <t>reference_code</t>
  </si>
  <si>
    <t>package_code</t>
  </si>
  <si>
    <t>pdf_package_seq</t>
  </si>
  <si>
    <t>Carton number</t>
  </si>
  <si>
    <t>item_count</t>
  </si>
  <si>
    <t>calculated_total_qty</t>
  </si>
  <si>
    <t>declared_total_qty</t>
  </si>
  <si>
    <t>qty_match</t>
  </si>
  <si>
    <t>dim_match</t>
  </si>
  <si>
    <t>overall_status</t>
  </si>
  <si>
    <t>remark</t>
  </si>
  <si>
    <t>HK-4_VN.pdf</t>
  </si>
  <si>
    <t>1/1</t>
  </si>
  <si>
    <t>YES</t>
  </si>
  <si>
    <t>MATCHED</t>
  </si>
  <si>
    <t>HK-4_CN.pdf</t>
  </si>
  <si>
    <t>source_filename</t>
  </si>
  <si>
    <t>source_page</t>
  </si>
  <si>
    <t>reference_raw</t>
  </si>
  <si>
    <t>reference_normalized</t>
  </si>
  <si>
    <t>package_code_raw</t>
  </si>
  <si>
    <t>package_code_normalized</t>
  </si>
  <si>
    <t>package_sequence</t>
  </si>
  <si>
    <t>gtin</t>
  </si>
  <si>
    <t>gtin_valid_13digit</t>
  </si>
  <si>
    <t>sku_raw</t>
  </si>
  <si>
    <t>sku_normalized</t>
  </si>
  <si>
    <t>description</t>
  </si>
  <si>
    <t>description_raw</t>
  </si>
  <si>
    <t>description_source</t>
  </si>
  <si>
    <t>description_master_verified</t>
  </si>
  <si>
    <t>uom</t>
  </si>
  <si>
    <t>condition</t>
  </si>
  <si>
    <t>quantity</t>
  </si>
  <si>
    <t>declared_total</t>
  </si>
  <si>
    <t>calculated_total</t>
  </si>
  <si>
    <t>package_validation_status</t>
  </si>
  <si>
    <t>dim_match_status</t>
  </si>
  <si>
    <t>dim_source_method</t>
  </si>
  <si>
    <t>length</t>
  </si>
  <si>
    <t>width</t>
  </si>
  <si>
    <t>height</t>
  </si>
  <si>
    <t>weight</t>
  </si>
  <si>
    <t>cbm</t>
  </si>
  <si>
    <t>diagnostic_reason</t>
  </si>
  <si>
    <t>master_match_status</t>
  </si>
  <si>
    <t>country</t>
  </si>
  <si>
    <t>country_source</t>
  </si>
  <si>
    <t>shipping_mark</t>
  </si>
  <si>
    <t>shipping_mark_source</t>
  </si>
  <si>
    <t>shipping_mark_confidence</t>
  </si>
  <si>
    <t>filename_reference</t>
  </si>
  <si>
    <t>or_list_match_status</t>
  </si>
  <si>
    <t>or_list_store</t>
  </si>
  <si>
    <t>counting_scope_key</t>
  </si>
  <si>
    <t>store_carton_display</t>
  </si>
  <si>
    <t>global_carton_display</t>
  </si>
  <si>
    <t>port</t>
  </si>
  <si>
    <t>store</t>
  </si>
  <si>
    <t>business_fields</t>
  </si>
  <si>
    <t>Barrel Bag Small Green Check</t>
  </si>
  <si>
    <t>MASTER_SKU_EAN_VERIFIED</t>
  </si>
  <si>
    <t>Mới</t>
  </si>
  <si>
    <t>OK</t>
  </si>
  <si>
    <t>EXACT_MATCH</t>
  </si>
  <si>
    <t>HEADER_MAPPING</t>
  </si>
  <si>
    <t>table</t>
  </si>
  <si>
    <t>MASTER_MATCHED</t>
  </si>
  <si>
    <t>HK</t>
  </si>
  <si>
    <t>FILENAME_PREFIX</t>
  </si>
  <si>
    <t>FILENAME_REFERENCE_CODE</t>
  </si>
  <si>
    <t>OR:OR1196|UNRESOLVED</t>
  </si>
  <si>
    <t>OR No: OR1196; SO no: ia32674</t>
  </si>
  <si>
    <t>8.0mm Rope Strap Autumn Lattice</t>
  </si>
  <si>
    <t>6.0mm Rope Strap Flash White</t>
  </si>
  <si>
    <t>Metric</t>
  </si>
  <si>
    <t>Value</t>
  </si>
  <si>
    <t>Parser/core version</t>
  </si>
  <si>
    <t>v11.0-sublist-2026-08</t>
  </si>
  <si>
    <t>Git commit SHA</t>
  </si>
  <si>
    <t>Run timestamp (UTC)</t>
  </si>
  <si>
    <t>2026-08-12T10:01:12.665999+00:00</t>
  </si>
  <si>
    <t>Files processed</t>
  </si>
  <si>
    <t>Pages processed</t>
  </si>
  <si>
    <t>Package count</t>
  </si>
  <si>
    <t>Item count</t>
  </si>
  <si>
    <t>Duplicate items skipped (dedup)</t>
  </si>
  <si>
    <t>Total checks passed (audit_status=OK)</t>
  </si>
  <si>
    <t>Total checks failed (audit_status!=OK)</t>
  </si>
  <si>
    <t>DIM detection method</t>
  </si>
  <si>
    <t>DIM sheet selected</t>
  </si>
  <si>
    <t>Sheet1</t>
  </si>
  <si>
    <t>DIM rows loaded (valid)</t>
  </si>
  <si>
    <t>DIM rows scanned</t>
  </si>
  <si>
    <t>DIM malformed rows</t>
  </si>
  <si>
    <t>DIM duplicate keys</t>
  </si>
  <si>
    <t>DIM review-required (CBM tolerance)</t>
  </si>
  <si>
    <t>DIM exact matches (packages)</t>
  </si>
  <si>
    <t>DIM mismatches (packages)</t>
  </si>
  <si>
    <t>Warning count (duplicates + malformed + review)</t>
  </si>
  <si>
    <t>Error count (DIM FAIL_WITH_DIAGNOSTIC sheets)</t>
  </si>
  <si>
    <t>Per-PDF reproduction report</t>
  </si>
  <si>
    <t>filename</t>
  </si>
  <si>
    <t>page_count</t>
  </si>
  <si>
    <t>text_layer_usable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</si>
</sst>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6"/>
      <name val="Calibri"/>
    </font>
    <font>
      <b/>
      <sz val="10"/>
      <name val="Calibri"/>
    </font>
    <font>
      <sz val="10"/>
      <name val="Calibri"/>
    </font>
    <font>
      <b/>
      <sz val="10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C6EFCE"/>
      </patternFill>
    </fill>
  </fills>
  <borders count="1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8" xfId="0" applyBorder="1"/>
    <xf numFmtId="0" fontId="0" fillId="0" borderId="9" xfId="0" applyBorder="1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10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left" vertical="center" wrapText="1"/>
    </xf>
    <xf numFmtId="0" fontId="4" fillId="2" borderId="0" xfId="0" applyFont="1" applyFill="1" applyAlignment="1">
      <alignment horizontal="center" vertical="center" wrapText="1"/>
    </xf>
    <xf numFmtId="0" fontId="0" fillId="3" borderId="0" xfId="0" applyFill="1"/>
    <xf numFmtId="0" fontId="4" fillId="2" borderId="0" xfId="0" applyFont="1" applyFill="1"/>
    <xf numFmtId="0" fontId="3" fillId="0" borderId="10" xfId="0" applyFont="1" applyBorder="1" applyAlignment="1">
      <alignment horizontal="center" vertical="center" wrapText="1"/>
    </xf>
    <xf numFmtId="0" fontId="0" fillId="0" borderId="11" xfId="0" applyBorder="1"/>
    <xf numFmtId="0" fontId="0" fillId="0" borderId="12" xfId="0" applyBorder="1"/>
    <xf numFmtId="0" fontId="2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8"/>
  <sheetViews>
    <sheetView tabSelected="1" view="pageBreakPreview" zoomScale="60" zoomScaleNormal="70" workbookViewId="0">
      <selection activeCell="K5" sqref="K5"/>
    </sheetView>
  </sheetViews>
  <sheetFormatPr defaultRowHeight="14.4" x14ac:dyDescent="0.3"/>
  <cols>
    <col min="1" max="1" width="16.88671875" customWidth="1"/>
    <col min="2" max="2" width="14.21875" hidden="1" customWidth="1"/>
    <col min="3" max="3" width="14.21875" customWidth="1"/>
    <col min="4" max="4" width="13" customWidth="1"/>
    <col min="5" max="5" width="27.77734375" customWidth="1"/>
    <col min="6" max="6" width="25.77734375" customWidth="1"/>
    <col min="7" max="7" width="17.44140625" customWidth="1"/>
    <col min="8" max="8" width="10" customWidth="1"/>
    <col min="9" max="9" width="14.21875" customWidth="1"/>
    <col min="10" max="10" width="11.77734375" customWidth="1"/>
    <col min="11" max="11" width="23.21875" customWidth="1"/>
    <col min="12" max="12" width="8.33203125" customWidth="1"/>
    <col min="13" max="13" width="8.109375" customWidth="1"/>
    <col min="14" max="14" width="6.88671875" customWidth="1"/>
    <col min="15" max="15" width="9.6640625" customWidth="1"/>
    <col min="16" max="16" width="13" customWidth="1"/>
    <col min="17" max="17" width="15.21875" customWidth="1"/>
    <col min="18" max="18" width="17.109375" customWidth="1"/>
    <col min="19" max="19" width="27.109375" customWidth="1"/>
    <col min="20" max="20" width="9" customWidth="1"/>
    <col min="21" max="21" width="25.77734375" customWidth="1"/>
  </cols>
  <sheetData>
    <row r="1" spans="1:21" ht="33.75" customHeight="1" x14ac:dyDescent="0.3">
      <c r="A1" s="23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</row>
    <row r="2" spans="1:21" ht="31.95" customHeight="1" x14ac:dyDescent="0.3">
      <c r="A2" s="18" t="s">
        <v>1</v>
      </c>
      <c r="B2" s="19"/>
      <c r="C2" s="19"/>
      <c r="D2" s="19"/>
      <c r="E2" s="1"/>
      <c r="F2" s="1"/>
      <c r="G2" s="1"/>
      <c r="H2" s="1"/>
      <c r="I2" s="1"/>
      <c r="J2" s="1"/>
      <c r="K2" s="2"/>
      <c r="L2" s="18" t="s">
        <v>2</v>
      </c>
      <c r="M2" s="19"/>
      <c r="N2" s="19"/>
      <c r="O2" s="19"/>
      <c r="P2" s="19"/>
      <c r="Q2" s="22"/>
    </row>
    <row r="3" spans="1:21" ht="21" customHeight="1" x14ac:dyDescent="0.3">
      <c r="A3" s="18" t="s">
        <v>3</v>
      </c>
      <c r="B3" s="19"/>
      <c r="C3" s="1"/>
      <c r="D3" s="1"/>
      <c r="E3" s="1"/>
      <c r="F3" s="1"/>
      <c r="G3" s="1"/>
      <c r="H3" s="1"/>
      <c r="I3" s="1"/>
      <c r="J3" s="1"/>
      <c r="K3" s="2"/>
      <c r="L3" s="18" t="s">
        <v>4</v>
      </c>
      <c r="M3" s="19"/>
      <c r="N3" s="19"/>
      <c r="O3" s="19"/>
      <c r="P3" s="19"/>
      <c r="Q3" s="22"/>
    </row>
    <row r="4" spans="1:21" ht="100.95" customHeight="1" x14ac:dyDescent="0.3">
      <c r="A4" s="20" t="s">
        <v>5</v>
      </c>
      <c r="B4" s="19"/>
      <c r="C4" s="19"/>
      <c r="D4" s="19"/>
      <c r="E4" s="19"/>
      <c r="F4" s="1"/>
      <c r="G4" s="1"/>
      <c r="H4" s="1"/>
      <c r="I4" s="1"/>
      <c r="J4" s="1"/>
      <c r="K4" s="2"/>
      <c r="L4" s="21" t="s">
        <v>6</v>
      </c>
      <c r="M4" s="19"/>
      <c r="N4" s="19"/>
      <c r="O4" s="19"/>
      <c r="P4" s="19"/>
      <c r="Q4" s="22"/>
    </row>
    <row r="5" spans="1:21" ht="158.69999999999999" customHeight="1" x14ac:dyDescent="0.3">
      <c r="A5" s="20" t="s">
        <v>7</v>
      </c>
      <c r="B5" s="19"/>
      <c r="C5" s="19"/>
      <c r="D5" s="19"/>
      <c r="E5" s="19"/>
      <c r="F5" s="1"/>
      <c r="G5" s="1"/>
      <c r="H5" s="1"/>
      <c r="I5" s="1"/>
      <c r="J5" s="1"/>
      <c r="K5" s="2"/>
      <c r="L5" s="20" t="s">
        <v>8</v>
      </c>
      <c r="M5" s="19"/>
      <c r="N5" s="19"/>
      <c r="O5" s="19"/>
      <c r="P5" s="19"/>
      <c r="Q5" s="22"/>
    </row>
    <row r="6" spans="1:21" ht="21.45" customHeight="1" x14ac:dyDescent="0.3">
      <c r="A6" s="25" t="s">
        <v>9</v>
      </c>
      <c r="B6" s="26"/>
      <c r="C6" s="26"/>
      <c r="D6" s="26"/>
      <c r="E6" s="26"/>
      <c r="F6" s="3"/>
      <c r="G6" s="3"/>
      <c r="H6" s="3"/>
      <c r="I6" s="3"/>
      <c r="J6" s="3"/>
      <c r="K6" s="4"/>
      <c r="L6" s="5"/>
      <c r="M6" s="5"/>
      <c r="N6" s="5"/>
      <c r="O6" s="5"/>
      <c r="P6" s="5"/>
      <c r="Q6" s="5"/>
    </row>
    <row r="7" spans="1:21" ht="21.45" customHeight="1" x14ac:dyDescent="0.3">
      <c r="K7" s="6"/>
      <c r="L7" s="7"/>
    </row>
    <row r="8" spans="1:21" ht="15" customHeight="1" x14ac:dyDescent="0.3">
      <c r="A8" s="8" t="s">
        <v>10</v>
      </c>
      <c r="B8" s="9" t="str">
        <f>J18</f>
        <v>2 Cartons</v>
      </c>
      <c r="C8" s="9" t="s">
        <v>69</v>
      </c>
      <c r="K8" s="6"/>
      <c r="L8" s="7"/>
    </row>
    <row r="9" spans="1:21" ht="15" customHeight="1" x14ac:dyDescent="0.3">
      <c r="A9" s="8" t="s">
        <v>11</v>
      </c>
      <c r="B9" s="9">
        <f>I18</f>
        <v>4</v>
      </c>
      <c r="C9" s="9">
        <v>4</v>
      </c>
      <c r="K9" s="6"/>
      <c r="L9" s="7"/>
    </row>
    <row r="10" spans="1:21" ht="15" customHeight="1" x14ac:dyDescent="0.3">
      <c r="A10" s="8" t="s">
        <v>12</v>
      </c>
      <c r="B10" s="9">
        <f>O18</f>
        <v>1.05</v>
      </c>
      <c r="C10" s="9">
        <v>1.05</v>
      </c>
      <c r="K10" s="6"/>
      <c r="L10" s="7"/>
    </row>
    <row r="11" spans="1:21" ht="15" customHeight="1" x14ac:dyDescent="0.3">
      <c r="A11" s="8" t="s">
        <v>13</v>
      </c>
      <c r="B11" s="9">
        <f>P18</f>
        <v>0.02</v>
      </c>
      <c r="C11" s="9">
        <v>0.02</v>
      </c>
      <c r="K11" s="6"/>
      <c r="L11" s="7"/>
    </row>
    <row r="12" spans="1:21" ht="37.200000000000003" customHeight="1" x14ac:dyDescent="0.3">
      <c r="A12" s="10" t="s">
        <v>14</v>
      </c>
      <c r="B12" s="10" t="s">
        <v>15</v>
      </c>
      <c r="C12" s="10" t="s">
        <v>16</v>
      </c>
      <c r="D12" s="10" t="s">
        <v>17</v>
      </c>
      <c r="E12" s="10" t="s">
        <v>18</v>
      </c>
      <c r="F12" s="11" t="s">
        <v>19</v>
      </c>
      <c r="G12" s="10" t="s">
        <v>20</v>
      </c>
      <c r="H12" s="10" t="s">
        <v>21</v>
      </c>
      <c r="I12" s="10" t="s">
        <v>22</v>
      </c>
      <c r="J12" s="10" t="s">
        <v>23</v>
      </c>
      <c r="K12" s="10" t="s">
        <v>24</v>
      </c>
      <c r="L12" s="15" t="s">
        <v>25</v>
      </c>
      <c r="M12" s="15"/>
      <c r="N12" s="15"/>
      <c r="O12" s="10" t="s">
        <v>26</v>
      </c>
      <c r="P12" s="10" t="s">
        <v>13</v>
      </c>
      <c r="Q12" s="10" t="s">
        <v>27</v>
      </c>
      <c r="R12" s="10" t="s">
        <v>28</v>
      </c>
      <c r="S12" s="11" t="s">
        <v>29</v>
      </c>
      <c r="T12" s="10" t="s">
        <v>30</v>
      </c>
      <c r="U12" s="10" t="s">
        <v>31</v>
      </c>
    </row>
    <row r="13" spans="1:21" ht="15.75" customHeight="1" x14ac:dyDescent="0.3">
      <c r="A13" s="10" t="s">
        <v>32</v>
      </c>
      <c r="B13" s="10"/>
      <c r="C13" s="10" t="s">
        <v>33</v>
      </c>
      <c r="D13" s="10"/>
      <c r="E13" s="10" t="s">
        <v>34</v>
      </c>
      <c r="F13" s="11" t="s">
        <v>35</v>
      </c>
      <c r="G13" s="10" t="s">
        <v>36</v>
      </c>
      <c r="H13" s="10" t="s">
        <v>37</v>
      </c>
      <c r="I13" s="10" t="s">
        <v>38</v>
      </c>
      <c r="J13" s="10" t="s">
        <v>39</v>
      </c>
      <c r="K13" s="10" t="s">
        <v>40</v>
      </c>
      <c r="L13" s="15" t="s">
        <v>41</v>
      </c>
      <c r="M13" s="15"/>
      <c r="N13" s="15"/>
      <c r="O13" s="10"/>
      <c r="P13" s="10"/>
      <c r="Q13" s="10" t="s">
        <v>42</v>
      </c>
      <c r="R13" s="10" t="s">
        <v>42</v>
      </c>
      <c r="S13" s="11"/>
      <c r="T13" s="10"/>
      <c r="U13" s="10"/>
    </row>
    <row r="14" spans="1:21" ht="18" customHeight="1" x14ac:dyDescent="0.3">
      <c r="A14" s="10">
        <v>1</v>
      </c>
      <c r="B14" s="10"/>
      <c r="C14" s="10" t="s">
        <v>43</v>
      </c>
      <c r="D14" s="10" t="s">
        <v>44</v>
      </c>
      <c r="E14" s="11" t="s">
        <v>45</v>
      </c>
      <c r="F14" s="11" t="s">
        <v>46</v>
      </c>
      <c r="G14" s="10" t="s">
        <v>47</v>
      </c>
      <c r="H14" s="10" t="s">
        <v>48</v>
      </c>
      <c r="I14" s="10">
        <v>1</v>
      </c>
      <c r="J14" s="10" t="s">
        <v>49</v>
      </c>
      <c r="K14" s="10" t="s">
        <v>50</v>
      </c>
      <c r="L14" s="10">
        <v>26</v>
      </c>
      <c r="M14" s="10">
        <v>18</v>
      </c>
      <c r="N14" s="10">
        <v>11</v>
      </c>
      <c r="O14" s="10">
        <v>0.45</v>
      </c>
      <c r="P14" s="10">
        <v>0.01</v>
      </c>
      <c r="Q14" s="10" t="s">
        <v>51</v>
      </c>
      <c r="R14" s="10" t="s">
        <v>52</v>
      </c>
      <c r="S14" s="11" t="s">
        <v>53</v>
      </c>
      <c r="T14" s="10"/>
      <c r="U14" s="10"/>
    </row>
    <row r="15" spans="1:21" ht="18" customHeight="1" x14ac:dyDescent="0.3">
      <c r="A15" s="10">
        <v>2</v>
      </c>
      <c r="B15" s="10"/>
      <c r="C15" s="10" t="s">
        <v>43</v>
      </c>
      <c r="D15" s="10" t="s">
        <v>44</v>
      </c>
      <c r="E15" s="11" t="s">
        <v>54</v>
      </c>
      <c r="F15" s="11" t="s">
        <v>55</v>
      </c>
      <c r="G15" s="10" t="s">
        <v>56</v>
      </c>
      <c r="H15" s="10" t="s">
        <v>48</v>
      </c>
      <c r="I15" s="10">
        <v>1</v>
      </c>
      <c r="J15" s="15" t="s">
        <v>57</v>
      </c>
      <c r="K15" s="15" t="s">
        <v>58</v>
      </c>
      <c r="L15" s="15">
        <v>26</v>
      </c>
      <c r="M15" s="15">
        <v>18</v>
      </c>
      <c r="N15" s="15">
        <v>11</v>
      </c>
      <c r="O15" s="15">
        <v>0.6</v>
      </c>
      <c r="P15" s="15">
        <v>0.01</v>
      </c>
      <c r="Q15" s="10" t="s">
        <v>59</v>
      </c>
      <c r="R15" s="10" t="s">
        <v>60</v>
      </c>
      <c r="S15" s="11" t="s">
        <v>61</v>
      </c>
      <c r="T15" s="10"/>
      <c r="U15" s="10"/>
    </row>
    <row r="16" spans="1:21" ht="18" customHeight="1" x14ac:dyDescent="0.3">
      <c r="A16" s="10">
        <v>3</v>
      </c>
      <c r="B16" s="10"/>
      <c r="C16" s="10" t="s">
        <v>43</v>
      </c>
      <c r="D16" s="10" t="s">
        <v>44</v>
      </c>
      <c r="E16" s="11" t="s">
        <v>62</v>
      </c>
      <c r="F16" s="11" t="s">
        <v>63</v>
      </c>
      <c r="G16" s="10" t="s">
        <v>64</v>
      </c>
      <c r="H16" s="10" t="s">
        <v>48</v>
      </c>
      <c r="I16" s="10">
        <v>1</v>
      </c>
      <c r="J16" s="16"/>
      <c r="K16" s="16"/>
      <c r="L16" s="16"/>
      <c r="M16" s="16"/>
      <c r="N16" s="16"/>
      <c r="O16" s="16"/>
      <c r="P16" s="16"/>
      <c r="Q16" s="10" t="s">
        <v>59</v>
      </c>
      <c r="R16" s="10" t="s">
        <v>60</v>
      </c>
      <c r="S16" s="11" t="s">
        <v>61</v>
      </c>
      <c r="T16" s="10"/>
      <c r="U16" s="10"/>
    </row>
    <row r="17" spans="1:21" ht="18" customHeight="1" x14ac:dyDescent="0.3">
      <c r="A17" s="10">
        <v>4</v>
      </c>
      <c r="B17" s="10"/>
      <c r="C17" s="10" t="s">
        <v>43</v>
      </c>
      <c r="D17" s="10" t="s">
        <v>44</v>
      </c>
      <c r="E17" s="11" t="s">
        <v>65</v>
      </c>
      <c r="F17" s="11" t="s">
        <v>66</v>
      </c>
      <c r="G17" s="10" t="s">
        <v>67</v>
      </c>
      <c r="H17" s="10" t="s">
        <v>48</v>
      </c>
      <c r="I17" s="10">
        <v>1</v>
      </c>
      <c r="J17" s="17"/>
      <c r="K17" s="17"/>
      <c r="L17" s="17"/>
      <c r="M17" s="17"/>
      <c r="N17" s="17"/>
      <c r="O17" s="17"/>
      <c r="P17" s="17"/>
      <c r="Q17" s="10" t="s">
        <v>59</v>
      </c>
      <c r="R17" s="10" t="s">
        <v>60</v>
      </c>
      <c r="S17" s="11" t="s">
        <v>61</v>
      </c>
      <c r="T17" s="10"/>
      <c r="U17" s="10"/>
    </row>
    <row r="18" spans="1:21" ht="18" customHeight="1" x14ac:dyDescent="0.3">
      <c r="A18" s="15" t="s">
        <v>68</v>
      </c>
      <c r="B18" s="15"/>
      <c r="C18" s="15"/>
      <c r="D18" s="15"/>
      <c r="E18" s="15"/>
      <c r="F18" s="27"/>
      <c r="G18" s="15"/>
      <c r="H18" s="15"/>
      <c r="I18" s="10">
        <v>4</v>
      </c>
      <c r="J18" s="10" t="s">
        <v>69</v>
      </c>
      <c r="K18" s="10"/>
      <c r="L18" s="10"/>
      <c r="M18" s="10"/>
      <c r="N18" s="10"/>
      <c r="O18" s="10">
        <v>1.05</v>
      </c>
      <c r="P18" s="10">
        <v>0.02</v>
      </c>
      <c r="Q18" s="10"/>
      <c r="R18" s="10"/>
      <c r="S18" s="11"/>
      <c r="T18" s="10"/>
      <c r="U18" s="10"/>
    </row>
  </sheetData>
  <mergeCells count="23">
    <mergeCell ref="A1:Q1"/>
    <mergeCell ref="N2:Q2"/>
    <mergeCell ref="A6:E6"/>
    <mergeCell ref="A18:H18"/>
    <mergeCell ref="K15:K17"/>
    <mergeCell ref="A5:E5"/>
    <mergeCell ref="P15:P17"/>
    <mergeCell ref="L2:M2"/>
    <mergeCell ref="L15:L17"/>
    <mergeCell ref="N3:Q3"/>
    <mergeCell ref="L13:N13"/>
    <mergeCell ref="M15:M17"/>
    <mergeCell ref="J15:J17"/>
    <mergeCell ref="A2:D2"/>
    <mergeCell ref="O15:O17"/>
    <mergeCell ref="A4:E4"/>
    <mergeCell ref="L12:N12"/>
    <mergeCell ref="L4:M4"/>
    <mergeCell ref="N15:N17"/>
    <mergeCell ref="N4:Q4"/>
    <mergeCell ref="A3:B3"/>
    <mergeCell ref="L3:M3"/>
    <mergeCell ref="L5:Q5"/>
  </mergeCells>
  <pageMargins left="0.75" right="0.75" top="1" bottom="1" header="0.5" footer="0.5"/>
  <pageSetup scale="3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"/>
  <sheetViews>
    <sheetView workbookViewId="0"/>
  </sheetViews>
  <sheetFormatPr defaultRowHeight="14.4" x14ac:dyDescent="0.3"/>
  <cols>
    <col min="1" max="1" width="14" customWidth="1"/>
    <col min="2" max="2" width="17" customWidth="1"/>
    <col min="3" max="3" width="22" customWidth="1"/>
    <col min="4" max="4" width="18" customWidth="1"/>
    <col min="5" max="5" width="16" customWidth="1"/>
    <col min="6" max="6" width="13" customWidth="1"/>
    <col min="7" max="7" width="23" customWidth="1"/>
    <col min="8" max="8" width="21" customWidth="1"/>
    <col min="9" max="10" width="12" customWidth="1"/>
    <col min="11" max="11" width="17" customWidth="1"/>
    <col min="12" max="12" width="9" customWidth="1"/>
  </cols>
  <sheetData>
    <row r="1" spans="1:12" ht="28.05" customHeight="1" x14ac:dyDescent="0.3">
      <c r="A1" s="12" t="s">
        <v>70</v>
      </c>
      <c r="B1" s="12" t="s">
        <v>71</v>
      </c>
      <c r="C1" s="12" t="s">
        <v>72</v>
      </c>
      <c r="D1" s="12" t="s">
        <v>73</v>
      </c>
      <c r="E1" s="12" t="s">
        <v>74</v>
      </c>
      <c r="F1" s="12" t="s">
        <v>75</v>
      </c>
      <c r="G1" s="12" t="s">
        <v>76</v>
      </c>
      <c r="H1" s="12" t="s">
        <v>77</v>
      </c>
      <c r="I1" s="12" t="s">
        <v>78</v>
      </c>
      <c r="J1" s="12" t="s">
        <v>79</v>
      </c>
      <c r="K1" s="12" t="s">
        <v>80</v>
      </c>
      <c r="L1" s="12" t="s">
        <v>81</v>
      </c>
    </row>
    <row r="2" spans="1:12" x14ac:dyDescent="0.3">
      <c r="A2" s="13" t="s">
        <v>82</v>
      </c>
      <c r="B2" s="13" t="s">
        <v>53</v>
      </c>
      <c r="C2" s="13" t="s">
        <v>50</v>
      </c>
      <c r="D2" s="13" t="s">
        <v>83</v>
      </c>
      <c r="E2" s="13" t="s">
        <v>49</v>
      </c>
      <c r="F2" s="13">
        <v>1</v>
      </c>
      <c r="G2" s="13">
        <v>1</v>
      </c>
      <c r="H2" s="13">
        <v>1</v>
      </c>
      <c r="I2" s="13" t="s">
        <v>84</v>
      </c>
      <c r="J2" s="13" t="s">
        <v>84</v>
      </c>
      <c r="K2" s="13" t="s">
        <v>85</v>
      </c>
      <c r="L2" s="13"/>
    </row>
    <row r="3" spans="1:12" x14ac:dyDescent="0.3">
      <c r="A3" s="13" t="s">
        <v>86</v>
      </c>
      <c r="B3" s="13" t="s">
        <v>61</v>
      </c>
      <c r="C3" s="13" t="s">
        <v>58</v>
      </c>
      <c r="D3" s="13" t="s">
        <v>83</v>
      </c>
      <c r="E3" s="13" t="s">
        <v>57</v>
      </c>
      <c r="F3" s="13">
        <v>3</v>
      </c>
      <c r="G3" s="13">
        <v>3</v>
      </c>
      <c r="H3" s="13">
        <v>3</v>
      </c>
      <c r="I3" s="13" t="s">
        <v>84</v>
      </c>
      <c r="J3" s="13" t="s">
        <v>84</v>
      </c>
      <c r="K3" s="13" t="s">
        <v>85</v>
      </c>
      <c r="L3" s="13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R5"/>
  <sheetViews>
    <sheetView workbookViewId="0"/>
  </sheetViews>
  <sheetFormatPr defaultRowHeight="14.4" x14ac:dyDescent="0.3"/>
  <cols>
    <col min="1" max="1" width="18" customWidth="1"/>
    <col min="2" max="2" width="14" customWidth="1"/>
    <col min="3" max="3" width="16" customWidth="1"/>
    <col min="4" max="4" width="23" customWidth="1"/>
    <col min="5" max="5" width="22" customWidth="1"/>
    <col min="6" max="6" width="26" customWidth="1"/>
    <col min="7" max="7" width="19" customWidth="1"/>
    <col min="8" max="8" width="16" customWidth="1"/>
    <col min="9" max="9" width="21" customWidth="1"/>
    <col min="10" max="11" width="24" customWidth="1"/>
    <col min="12" max="12" width="19" customWidth="1"/>
    <col min="13" max="13" width="34" customWidth="1"/>
    <col min="14" max="14" width="26" customWidth="1"/>
    <col min="15" max="15" width="30" customWidth="1"/>
    <col min="16" max="16" width="6" customWidth="1"/>
    <col min="17" max="17" width="12" customWidth="1"/>
    <col min="18" max="18" width="11" customWidth="1"/>
    <col min="19" max="19" width="17" customWidth="1"/>
    <col min="20" max="20" width="19" customWidth="1"/>
    <col min="21" max="21" width="28" customWidth="1"/>
    <col min="22" max="22" width="19" customWidth="1"/>
    <col min="23" max="23" width="20" customWidth="1"/>
    <col min="24" max="24" width="9" customWidth="1"/>
    <col min="25" max="25" width="8" customWidth="1"/>
    <col min="26" max="27" width="9" customWidth="1"/>
    <col min="28" max="28" width="7" customWidth="1"/>
    <col min="29" max="29" width="20" customWidth="1"/>
    <col min="30" max="30" width="22" customWidth="1"/>
    <col min="31" max="31" width="10" customWidth="1"/>
    <col min="32" max="32" width="18" customWidth="1"/>
    <col min="33" max="33" width="16" customWidth="1"/>
    <col min="34" max="34" width="26" customWidth="1"/>
    <col min="35" max="35" width="27" customWidth="1"/>
    <col min="36" max="36" width="21" customWidth="1"/>
    <col min="37" max="37" width="23" customWidth="1"/>
    <col min="38" max="38" width="16" customWidth="1"/>
    <col min="39" max="40" width="23" customWidth="1"/>
    <col min="41" max="41" width="24" customWidth="1"/>
    <col min="42" max="42" width="7" customWidth="1"/>
    <col min="43" max="43" width="8" customWidth="1"/>
    <col min="44" max="44" width="32" customWidth="1"/>
  </cols>
  <sheetData>
    <row r="1" spans="1:44" x14ac:dyDescent="0.3">
      <c r="A1" s="14" t="s">
        <v>87</v>
      </c>
      <c r="B1" s="14" t="s">
        <v>88</v>
      </c>
      <c r="C1" s="14" t="s">
        <v>89</v>
      </c>
      <c r="D1" s="14" t="s">
        <v>90</v>
      </c>
      <c r="E1" s="14" t="s">
        <v>91</v>
      </c>
      <c r="F1" s="14" t="s">
        <v>92</v>
      </c>
      <c r="G1" s="14" t="s">
        <v>93</v>
      </c>
      <c r="H1" s="14" t="s">
        <v>94</v>
      </c>
      <c r="I1" s="14" t="s">
        <v>95</v>
      </c>
      <c r="J1" s="14" t="s">
        <v>96</v>
      </c>
      <c r="K1" s="14" t="s">
        <v>97</v>
      </c>
      <c r="L1" s="14" t="s">
        <v>98</v>
      </c>
      <c r="M1" s="14" t="s">
        <v>99</v>
      </c>
      <c r="N1" s="14" t="s">
        <v>100</v>
      </c>
      <c r="O1" s="14" t="s">
        <v>101</v>
      </c>
      <c r="P1" s="14" t="s">
        <v>102</v>
      </c>
      <c r="Q1" s="14" t="s">
        <v>103</v>
      </c>
      <c r="R1" s="14" t="s">
        <v>104</v>
      </c>
      <c r="S1" s="14" t="s">
        <v>105</v>
      </c>
      <c r="T1" s="14" t="s">
        <v>106</v>
      </c>
      <c r="U1" s="14" t="s">
        <v>107</v>
      </c>
      <c r="V1" s="14" t="s">
        <v>108</v>
      </c>
      <c r="W1" s="14" t="s">
        <v>109</v>
      </c>
      <c r="X1" s="14" t="s">
        <v>110</v>
      </c>
      <c r="Y1" s="14" t="s">
        <v>111</v>
      </c>
      <c r="Z1" s="14" t="s">
        <v>112</v>
      </c>
      <c r="AA1" s="14" t="s">
        <v>113</v>
      </c>
      <c r="AB1" s="14" t="s">
        <v>114</v>
      </c>
      <c r="AC1" s="14" t="s">
        <v>115</v>
      </c>
      <c r="AD1" s="14" t="s">
        <v>116</v>
      </c>
      <c r="AE1" s="14" t="s">
        <v>117</v>
      </c>
      <c r="AF1" s="14" t="s">
        <v>118</v>
      </c>
      <c r="AG1" s="14" t="s">
        <v>119</v>
      </c>
      <c r="AH1" s="14" t="s">
        <v>120</v>
      </c>
      <c r="AI1" s="14" t="s">
        <v>121</v>
      </c>
      <c r="AJ1" s="14" t="s">
        <v>122</v>
      </c>
      <c r="AK1" s="14" t="s">
        <v>123</v>
      </c>
      <c r="AL1" s="14" t="s">
        <v>124</v>
      </c>
      <c r="AM1" s="14" t="s">
        <v>125</v>
      </c>
      <c r="AN1" s="14" t="s">
        <v>126</v>
      </c>
      <c r="AO1" s="14" t="s">
        <v>127</v>
      </c>
      <c r="AP1" s="14" t="s">
        <v>128</v>
      </c>
      <c r="AQ1" s="14" t="s">
        <v>129</v>
      </c>
      <c r="AR1" s="14" t="s">
        <v>130</v>
      </c>
    </row>
    <row r="2" spans="1:44" x14ac:dyDescent="0.3">
      <c r="A2" t="s">
        <v>82</v>
      </c>
      <c r="B2">
        <v>1</v>
      </c>
      <c r="C2" t="s">
        <v>53</v>
      </c>
      <c r="D2" t="s">
        <v>53</v>
      </c>
      <c r="E2" t="s">
        <v>50</v>
      </c>
      <c r="F2" t="s">
        <v>50</v>
      </c>
      <c r="G2" t="s">
        <v>83</v>
      </c>
      <c r="H2" t="s">
        <v>47</v>
      </c>
      <c r="I2" t="b">
        <v>1</v>
      </c>
      <c r="J2" t="s">
        <v>46</v>
      </c>
      <c r="K2" t="s">
        <v>46</v>
      </c>
      <c r="L2" t="s">
        <v>45</v>
      </c>
      <c r="M2" t="s">
        <v>131</v>
      </c>
      <c r="N2" t="s">
        <v>132</v>
      </c>
      <c r="O2" t="b">
        <v>1</v>
      </c>
      <c r="P2" t="s">
        <v>48</v>
      </c>
      <c r="Q2" t="s">
        <v>133</v>
      </c>
      <c r="R2">
        <v>1</v>
      </c>
      <c r="S2">
        <v>1</v>
      </c>
      <c r="T2">
        <v>1</v>
      </c>
      <c r="U2" t="s">
        <v>134</v>
      </c>
      <c r="V2" t="s">
        <v>135</v>
      </c>
      <c r="W2" t="s">
        <v>136</v>
      </c>
      <c r="X2">
        <v>26</v>
      </c>
      <c r="Y2">
        <v>18</v>
      </c>
      <c r="Z2">
        <v>11</v>
      </c>
      <c r="AA2">
        <v>0.45</v>
      </c>
      <c r="AB2">
        <v>0.01</v>
      </c>
      <c r="AC2" t="s">
        <v>137</v>
      </c>
      <c r="AD2" t="s">
        <v>138</v>
      </c>
      <c r="AE2" t="s">
        <v>139</v>
      </c>
      <c r="AF2" t="s">
        <v>140</v>
      </c>
      <c r="AG2" t="s">
        <v>53</v>
      </c>
      <c r="AH2" t="s">
        <v>141</v>
      </c>
      <c r="AI2">
        <v>0.5</v>
      </c>
      <c r="AJ2" t="s">
        <v>53</v>
      </c>
      <c r="AK2" t="s">
        <v>134</v>
      </c>
      <c r="AM2" t="s">
        <v>142</v>
      </c>
      <c r="AN2" t="s">
        <v>49</v>
      </c>
      <c r="AO2" t="s">
        <v>49</v>
      </c>
      <c r="AR2" t="s">
        <v>143</v>
      </c>
    </row>
    <row r="3" spans="1:44" x14ac:dyDescent="0.3">
      <c r="A3" t="s">
        <v>86</v>
      </c>
      <c r="B3">
        <v>1</v>
      </c>
      <c r="C3" t="s">
        <v>61</v>
      </c>
      <c r="D3" t="s">
        <v>61</v>
      </c>
      <c r="E3" t="s">
        <v>58</v>
      </c>
      <c r="F3" t="s">
        <v>58</v>
      </c>
      <c r="G3" t="s">
        <v>83</v>
      </c>
      <c r="H3" t="s">
        <v>56</v>
      </c>
      <c r="I3" t="b">
        <v>1</v>
      </c>
      <c r="J3" t="s">
        <v>55</v>
      </c>
      <c r="K3" t="s">
        <v>55</v>
      </c>
      <c r="L3" t="s">
        <v>54</v>
      </c>
      <c r="M3" t="s">
        <v>144</v>
      </c>
      <c r="N3" t="s">
        <v>132</v>
      </c>
      <c r="O3" t="b">
        <v>1</v>
      </c>
      <c r="P3" t="s">
        <v>48</v>
      </c>
      <c r="Q3" t="s">
        <v>133</v>
      </c>
      <c r="R3">
        <v>1</v>
      </c>
      <c r="S3">
        <v>3</v>
      </c>
      <c r="T3">
        <v>3</v>
      </c>
      <c r="U3" t="s">
        <v>134</v>
      </c>
      <c r="V3" t="s">
        <v>135</v>
      </c>
      <c r="W3" t="s">
        <v>136</v>
      </c>
      <c r="X3">
        <v>26</v>
      </c>
      <c r="Y3">
        <v>18</v>
      </c>
      <c r="Z3">
        <v>11</v>
      </c>
      <c r="AA3">
        <v>0.6</v>
      </c>
      <c r="AB3">
        <v>0.01</v>
      </c>
      <c r="AC3" t="s">
        <v>137</v>
      </c>
      <c r="AD3" t="s">
        <v>138</v>
      </c>
      <c r="AE3" t="s">
        <v>139</v>
      </c>
      <c r="AF3" t="s">
        <v>140</v>
      </c>
      <c r="AG3" t="s">
        <v>61</v>
      </c>
      <c r="AH3" t="s">
        <v>141</v>
      </c>
      <c r="AI3">
        <v>0.5</v>
      </c>
      <c r="AJ3" t="s">
        <v>61</v>
      </c>
      <c r="AK3" t="s">
        <v>134</v>
      </c>
      <c r="AM3" t="s">
        <v>142</v>
      </c>
      <c r="AN3" t="s">
        <v>57</v>
      </c>
      <c r="AO3" t="s">
        <v>57</v>
      </c>
      <c r="AR3" t="s">
        <v>143</v>
      </c>
    </row>
    <row r="4" spans="1:44" x14ac:dyDescent="0.3">
      <c r="A4" t="s">
        <v>86</v>
      </c>
      <c r="B4">
        <v>1</v>
      </c>
      <c r="C4" t="s">
        <v>61</v>
      </c>
      <c r="D4" t="s">
        <v>61</v>
      </c>
      <c r="E4" t="s">
        <v>58</v>
      </c>
      <c r="F4" t="s">
        <v>58</v>
      </c>
      <c r="G4" t="s">
        <v>83</v>
      </c>
      <c r="H4" t="s">
        <v>64</v>
      </c>
      <c r="I4" t="b">
        <v>1</v>
      </c>
      <c r="J4" t="s">
        <v>63</v>
      </c>
      <c r="K4" t="s">
        <v>63</v>
      </c>
      <c r="L4" t="s">
        <v>62</v>
      </c>
      <c r="M4" t="s">
        <v>145</v>
      </c>
      <c r="N4" t="s">
        <v>132</v>
      </c>
      <c r="O4" t="b">
        <v>1</v>
      </c>
      <c r="P4" t="s">
        <v>48</v>
      </c>
      <c r="Q4" t="s">
        <v>133</v>
      </c>
      <c r="R4">
        <v>1</v>
      </c>
      <c r="S4">
        <v>3</v>
      </c>
      <c r="T4">
        <v>3</v>
      </c>
      <c r="U4" t="s">
        <v>134</v>
      </c>
      <c r="V4" t="s">
        <v>135</v>
      </c>
      <c r="W4" t="s">
        <v>136</v>
      </c>
      <c r="X4">
        <v>26</v>
      </c>
      <c r="Y4">
        <v>18</v>
      </c>
      <c r="Z4">
        <v>11</v>
      </c>
      <c r="AA4">
        <v>0.6</v>
      </c>
      <c r="AB4">
        <v>0.01</v>
      </c>
      <c r="AC4" t="s">
        <v>137</v>
      </c>
      <c r="AD4" t="s">
        <v>138</v>
      </c>
      <c r="AE4" t="s">
        <v>139</v>
      </c>
      <c r="AF4" t="s">
        <v>140</v>
      </c>
      <c r="AG4" t="s">
        <v>61</v>
      </c>
      <c r="AH4" t="s">
        <v>141</v>
      </c>
      <c r="AI4">
        <v>0.5</v>
      </c>
      <c r="AJ4" t="s">
        <v>61</v>
      </c>
      <c r="AK4" t="s">
        <v>134</v>
      </c>
      <c r="AM4" t="s">
        <v>142</v>
      </c>
      <c r="AN4" t="s">
        <v>57</v>
      </c>
      <c r="AO4" t="s">
        <v>57</v>
      </c>
      <c r="AR4" t="s">
        <v>143</v>
      </c>
    </row>
    <row r="5" spans="1:44" x14ac:dyDescent="0.3">
      <c r="A5" t="s">
        <v>86</v>
      </c>
      <c r="B5">
        <v>1</v>
      </c>
      <c r="C5" t="s">
        <v>61</v>
      </c>
      <c r="D5" t="s">
        <v>61</v>
      </c>
      <c r="E5" t="s">
        <v>58</v>
      </c>
      <c r="F5" t="s">
        <v>58</v>
      </c>
      <c r="G5" t="s">
        <v>83</v>
      </c>
      <c r="H5" t="s">
        <v>67</v>
      </c>
      <c r="I5" t="b">
        <v>1</v>
      </c>
      <c r="J5" t="s">
        <v>66</v>
      </c>
      <c r="K5" t="s">
        <v>66</v>
      </c>
      <c r="L5" t="s">
        <v>65</v>
      </c>
      <c r="M5" t="s">
        <v>65</v>
      </c>
      <c r="N5" t="s">
        <v>132</v>
      </c>
      <c r="O5" t="b">
        <v>1</v>
      </c>
      <c r="P5" t="s">
        <v>48</v>
      </c>
      <c r="Q5" t="s">
        <v>133</v>
      </c>
      <c r="R5">
        <v>1</v>
      </c>
      <c r="S5">
        <v>3</v>
      </c>
      <c r="T5">
        <v>3</v>
      </c>
      <c r="U5" t="s">
        <v>134</v>
      </c>
      <c r="V5" t="s">
        <v>135</v>
      </c>
      <c r="W5" t="s">
        <v>136</v>
      </c>
      <c r="X5">
        <v>26</v>
      </c>
      <c r="Y5">
        <v>18</v>
      </c>
      <c r="Z5">
        <v>11</v>
      </c>
      <c r="AA5">
        <v>0.6</v>
      </c>
      <c r="AB5">
        <v>0.01</v>
      </c>
      <c r="AC5" t="s">
        <v>137</v>
      </c>
      <c r="AD5" t="s">
        <v>138</v>
      </c>
      <c r="AE5" t="s">
        <v>139</v>
      </c>
      <c r="AF5" t="s">
        <v>140</v>
      </c>
      <c r="AG5" t="s">
        <v>61</v>
      </c>
      <c r="AH5" t="s">
        <v>141</v>
      </c>
      <c r="AI5">
        <v>0.5</v>
      </c>
      <c r="AJ5" t="s">
        <v>61</v>
      </c>
      <c r="AK5" t="s">
        <v>134</v>
      </c>
      <c r="AM5" t="s">
        <v>142</v>
      </c>
      <c r="AN5" t="s">
        <v>57</v>
      </c>
      <c r="AO5" t="s">
        <v>57</v>
      </c>
      <c r="AR5" t="s">
        <v>143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7"/>
  <sheetViews>
    <sheetView workbookViewId="0"/>
  </sheetViews>
  <sheetFormatPr defaultRowHeight="14.4" x14ac:dyDescent="0.3"/>
  <cols>
    <col min="1" max="1" width="40" customWidth="1"/>
    <col min="2" max="2" width="35" customWidth="1"/>
  </cols>
  <sheetData>
    <row r="1" spans="1:2" x14ac:dyDescent="0.3">
      <c r="A1" s="14" t="s">
        <v>146</v>
      </c>
      <c r="B1" s="14" t="s">
        <v>147</v>
      </c>
    </row>
    <row r="2" spans="1:2" x14ac:dyDescent="0.3">
      <c r="A2" t="s">
        <v>148</v>
      </c>
      <c r="B2" t="s">
        <v>149</v>
      </c>
    </row>
    <row r="3" spans="1:2" x14ac:dyDescent="0.3">
      <c r="A3" t="s">
        <v>150</v>
      </c>
    </row>
    <row r="4" spans="1:2" x14ac:dyDescent="0.3">
      <c r="A4" t="s">
        <v>151</v>
      </c>
      <c r="B4" t="s">
        <v>152</v>
      </c>
    </row>
    <row r="5" spans="1:2" x14ac:dyDescent="0.3">
      <c r="A5" t="s">
        <v>153</v>
      </c>
      <c r="B5">
        <v>2</v>
      </c>
    </row>
    <row r="6" spans="1:2" x14ac:dyDescent="0.3">
      <c r="A6" t="s">
        <v>154</v>
      </c>
      <c r="B6">
        <v>2</v>
      </c>
    </row>
    <row r="7" spans="1:2" x14ac:dyDescent="0.3">
      <c r="A7" t="s">
        <v>155</v>
      </c>
      <c r="B7">
        <v>2</v>
      </c>
    </row>
    <row r="8" spans="1:2" x14ac:dyDescent="0.3">
      <c r="A8" t="s">
        <v>156</v>
      </c>
      <c r="B8">
        <v>4</v>
      </c>
    </row>
    <row r="9" spans="1:2" x14ac:dyDescent="0.3">
      <c r="A9" t="s">
        <v>157</v>
      </c>
      <c r="B9">
        <v>0</v>
      </c>
    </row>
    <row r="10" spans="1:2" x14ac:dyDescent="0.3">
      <c r="A10" t="s">
        <v>158</v>
      </c>
      <c r="B10">
        <v>2</v>
      </c>
    </row>
    <row r="11" spans="1:2" x14ac:dyDescent="0.3">
      <c r="A11" t="s">
        <v>159</v>
      </c>
      <c r="B11">
        <v>0</v>
      </c>
    </row>
    <row r="12" spans="1:2" x14ac:dyDescent="0.3">
      <c r="A12" t="s">
        <v>160</v>
      </c>
      <c r="B12" t="s">
        <v>136</v>
      </c>
    </row>
    <row r="13" spans="1:2" x14ac:dyDescent="0.3">
      <c r="A13" t="s">
        <v>161</v>
      </c>
      <c r="B13" t="s">
        <v>162</v>
      </c>
    </row>
    <row r="14" spans="1:2" x14ac:dyDescent="0.3">
      <c r="A14" t="s">
        <v>163</v>
      </c>
      <c r="B14">
        <v>2</v>
      </c>
    </row>
    <row r="15" spans="1:2" x14ac:dyDescent="0.3">
      <c r="A15" t="s">
        <v>164</v>
      </c>
      <c r="B15">
        <v>2</v>
      </c>
    </row>
    <row r="16" spans="1:2" x14ac:dyDescent="0.3">
      <c r="A16" t="s">
        <v>165</v>
      </c>
      <c r="B16">
        <v>0</v>
      </c>
    </row>
    <row r="17" spans="1:3" x14ac:dyDescent="0.3">
      <c r="A17" t="s">
        <v>166</v>
      </c>
      <c r="B17">
        <v>0</v>
      </c>
    </row>
    <row r="18" spans="1:3" x14ac:dyDescent="0.3">
      <c r="A18" t="s">
        <v>167</v>
      </c>
      <c r="B18">
        <v>2</v>
      </c>
    </row>
    <row r="19" spans="1:3" x14ac:dyDescent="0.3">
      <c r="A19" t="s">
        <v>168</v>
      </c>
      <c r="B19">
        <v>2</v>
      </c>
    </row>
    <row r="20" spans="1:3" x14ac:dyDescent="0.3">
      <c r="A20" t="s">
        <v>169</v>
      </c>
      <c r="B20">
        <v>0</v>
      </c>
    </row>
    <row r="21" spans="1:3" x14ac:dyDescent="0.3">
      <c r="A21" t="s">
        <v>170</v>
      </c>
      <c r="B21">
        <v>2</v>
      </c>
    </row>
    <row r="22" spans="1:3" x14ac:dyDescent="0.3">
      <c r="A22" t="s">
        <v>171</v>
      </c>
      <c r="B22">
        <v>0</v>
      </c>
    </row>
    <row r="24" spans="1:3" x14ac:dyDescent="0.3">
      <c r="A24" t="s">
        <v>172</v>
      </c>
    </row>
    <row r="25" spans="1:3" x14ac:dyDescent="0.3">
      <c r="A25" t="s">
        <v>173</v>
      </c>
      <c r="B25" t="s">
        <v>174</v>
      </c>
      <c r="C25" t="s">
        <v>175</v>
      </c>
    </row>
    <row r="26" spans="1:3" x14ac:dyDescent="0.3">
      <c r="A26" t="s">
        <v>86</v>
      </c>
      <c r="B26">
        <v>1</v>
      </c>
      <c r="C26" t="b">
        <v>1</v>
      </c>
    </row>
    <row r="27" spans="1:3" x14ac:dyDescent="0.3">
      <c r="A27" t="s">
        <v>82</v>
      </c>
      <c r="B27">
        <v>1</v>
      </c>
      <c r="C2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Packing List</vt:lpstr>
      <vt:lpstr>Match_Status</vt:lpstr>
      <vt:lpstr>Raw_Data</vt:lpstr>
      <vt:lpstr>Audit_Summary</vt:lpstr>
      <vt:lpstr>'Packing List'!Print_Area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Thu Ha [VN-KEC]</cp:lastModifiedBy>
  <dcterms:created xsi:type="dcterms:W3CDTF">2026-08-12T10:01:14Z</dcterms:created>
  <dcterms:modified xsi:type="dcterms:W3CDTF">2026-08-12T10:03:27Z</dcterms:modified>
</cp:coreProperties>
</file>